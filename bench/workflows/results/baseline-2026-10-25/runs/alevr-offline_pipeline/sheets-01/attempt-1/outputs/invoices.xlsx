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 fullCalcOnLoad="1"/>
</workbook>
</file>

<file path=xl/sharedStrings.xml><?xml version="1.0" encoding="utf-8"?>
<sst xmlns="http://schemas.openxmlformats.org/spreadsheetml/2006/main" count="27" uniqueCount="21">
  <si>
    <t>Invoice</t>
  </si>
  <si>
    <t>Customer</t>
  </si>
  <si>
    <t>Status</t>
  </si>
  <si>
    <t>Amount EUR</t>
  </si>
  <si>
    <t>Summary</t>
  </si>
  <si>
    <t>EUR</t>
  </si>
  <si>
    <t>I01</t>
  </si>
  <si>
    <t>North</t>
  </si>
  <si>
    <t>paid</t>
  </si>
  <si>
    <t>Paid</t>
  </si>
  <si>
    <t>I02</t>
  </si>
  <si>
    <t>South</t>
  </si>
  <si>
    <t>Unpaid</t>
  </si>
  <si>
    <t>I03</t>
  </si>
  <si>
    <t>unpaid</t>
  </si>
  <si>
    <t>Total (excl. cancelled)</t>
  </si>
  <si>
    <t>I04</t>
  </si>
  <si>
    <t>West</t>
  </si>
  <si>
    <t>cancelled</t>
  </si>
  <si>
    <t>I05</t>
  </si>
  <si>
    <t>I06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</si>
</sst>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Paid vs unpaid (EUR)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EUR</c:v>
          </c:tx>
          <c:invertIfNegative val="0"/>
          <c:cat>
            <c:strRef>
              <c:f>Invoices!$F$2:$F$3</c:f>
              <c:strCache>
                <c:ptCount val="2"/>
                <c:pt idx="0">
                  <c:v>Paid</c:v>
                </c:pt>
                <c:pt idx="1">
                  <c:v>Unpaid</c:v>
                </c:pt>
              </c:strCache>
            </c:strRef>
          </c:cat>
          <c:val>
            <c:numRef>
              <c:f>Invoices!$G$2:$G$3</c:f>
              <c:numCache>
                <c:formatCode>General</c:formatCode>
                <c:ptCount val="2"/>
                <c:pt idx="0">
                  <c:v>390</c:v>
                </c:pt>
                <c:pt idx="1">
                  <c:v>111</c:v>
                </c:pt>
              </c:numCache>
            </c:numRef>
          </c:val>
        </c:ser>
        <c:gapWidth val="8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" name="Paid vs unpaid (EUR)" descr="alevr:ch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Alevr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 t="s">
        <v>8</v>
      </c>
      <c r="D2" s="2">
        <v>125.5</v>
      </c>
      <c r="F2" t="s">
        <v>9</v>
      </c>
      <c r="G2" s="2">
        <f>SUMIF(C2:C7,"paid",D2:D7)</f>
        <v>390</v>
      </c>
    </row>
    <row r="3" spans="1:7" x14ac:dyDescent="0.25">
      <c r="A3" t="s">
        <v>10</v>
      </c>
      <c r="B3" t="s">
        <v>11</v>
      </c>
      <c r="C3" t="s">
        <v>8</v>
      </c>
      <c r="D3" s="2">
        <v>200</v>
      </c>
      <c r="F3" t="s">
        <v>12</v>
      </c>
      <c r="G3" s="2">
        <f>SUMIF(C2:C7,"unpaid",D2:D7)</f>
        <v>111</v>
      </c>
    </row>
    <row r="4" spans="1:7" x14ac:dyDescent="0.25">
      <c r="A4" t="s">
        <v>13</v>
      </c>
      <c r="B4" t="s">
        <v>7</v>
      </c>
      <c r="C4" t="s">
        <v>14</v>
      </c>
      <c r="D4" s="2">
        <v>80.25</v>
      </c>
      <c r="F4" t="s">
        <v>15</v>
      </c>
      <c r="G4" s="2">
        <f>G2+G3</f>
        <v>501</v>
      </c>
    </row>
    <row r="5" spans="1:4" x14ac:dyDescent="0.25">
      <c r="A5" t="s">
        <v>16</v>
      </c>
      <c r="B5" t="s">
        <v>17</v>
      </c>
      <c r="C5" t="s">
        <v>18</v>
      </c>
      <c r="D5" s="2">
        <v>45</v>
      </c>
    </row>
    <row r="6" spans="1:4" x14ac:dyDescent="0.25">
      <c r="A6" t="s">
        <v>19</v>
      </c>
      <c r="B6" t="s">
        <v>11</v>
      </c>
      <c r="C6" t="s">
        <v>8</v>
      </c>
      <c r="D6" s="2">
        <v>64.5</v>
      </c>
    </row>
    <row r="7" spans="1:4" x14ac:dyDescent="0.25">
      <c r="A7" t="s">
        <v>20</v>
      </c>
      <c r="B7" t="s">
        <v>17</v>
      </c>
      <c r="C7" t="s">
        <v>14</v>
      </c>
      <c r="D7" s="2">
        <v>30.75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AlevrDrawing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Alevr</dc:creator>
  <dc:title>Meridian invoices</dc:title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